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1"/>
  </bookViews>
  <sheets>
    <sheet name="Sheet2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<sst xmlns="http://schemas.openxmlformats.org/spreadsheetml/2006/main" count="38" uniqueCount="28">
  <si>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Region</t>
  </si>
  <si>
    <t>(All)</t>
  </si>
  <si>
    <t>Sum of Amount</t>
  </si>
  <si>
    <t>Column Labels</t>
  </si>
  <si>
    <t>Row Labels</t>
  </si>
  <si>
    <t>Grand Total</t>
  </si>
  <si>
    <t>Computer</t>
  </si>
  <si>
    <t>Cpu</t>
  </si>
  <si>
    <t>keyboard</t>
  </si>
  <si>
    <t>Laptop</t>
  </si>
  <si>
    <t>Mobile</t>
  </si>
  <si>
    <t>Mouse</t>
  </si>
  <si>
    <t xml:space="preserve">Date </t>
  </si>
  <si>
    <t>Product</t>
  </si>
  <si>
    <t>Amount</t>
  </si>
  <si>
    <t>North</t>
  </si>
  <si>
    <t>East</t>
  </si>
  <si>
    <t>West</t>
  </si>
  <si>
    <t>mouse</t>
  </si>
  <si>
    <t>South</t>
  </si>
  <si>
    <t>cpu</t>
  </si>
  <si>
    <t>Sum</t>
  </si>
  <si>
    <t>sumif</t>
  </si>
  <si>
    <t>count</t>
  </si>
  <si>
    <t>min</t>
  </si>
  <si>
    <t>max</t>
  </si>
  <si>
    <t>countif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</si>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</sst>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1"/>
      <color rgb="FFFF0000"/>
      <name val="Arial Black"/>
      <charset val="134"/>
    </font>
    <font>
      <sz val="10"/>
      <color rgb="FFFF0000"/>
      <name val="Arial Black"/>
      <charset val="134"/>
    </font>
    <font>
      <sz val="12"/>
      <color rgb="FFFF0000"/>
      <name val="Arial Black"/>
      <charset val="134"/>
    </font>
    <font>
      <b/>
      <sz val="11"/>
      <color theme="1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b/>
      <sz val="11"/>
      <color rgb="FF00B0F0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58" fontId="4" fillId="0" borderId="0" xfId="0" applyNumberFormat="1" applyFont="1"/>
    <xf numFmtId="0" fontId="4" fillId="0" borderId="0" xfId="0" applyFont="1"/>
    <xf numFmtId="0" fontId="0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58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pro.xlsx]Sheet2!PivotTable1</c:name>
    <c:fmtId val="0"/>
  </c:pivotSource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1/2/2025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Sheet2!$A$5:$A$11</c:f>
              <c:strCache>
                <c:ptCount val="6"/>
                <c:pt idx="0">
                  <c:v>Computer</c:v>
                </c:pt>
                <c:pt idx="1">
                  <c:v>Cpu</c:v>
                </c:pt>
                <c:pt idx="2">
                  <c:v>keyboard</c:v>
                </c:pt>
                <c:pt idx="3">
                  <c:v>Laptop</c:v>
                </c:pt>
                <c:pt idx="4">
                  <c:v>Mobile</c:v>
                </c:pt>
                <c:pt idx="5">
                  <c:v>Mouse</c:v>
                </c:pt>
              </c:strCache>
            </c:strRef>
          </c:cat>
          <c:val>
            <c:numRef>
              <c:f>Sheet2!$B$5:$B$11</c:f>
              <c:numCache>
                <c:formatCode>General</c:formatCode>
                <c:ptCount val="6"/>
                <c:pt idx="3">
                  <c:v>80000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1/3/2025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Sheet2!$A$5:$A$11</c:f>
              <c:strCache>
                <c:ptCount val="6"/>
                <c:pt idx="0">
                  <c:v>Computer</c:v>
                </c:pt>
                <c:pt idx="1">
                  <c:v>Cpu</c:v>
                </c:pt>
                <c:pt idx="2">
                  <c:v>keyboard</c:v>
                </c:pt>
                <c:pt idx="3">
                  <c:v>Laptop</c:v>
                </c:pt>
                <c:pt idx="4">
                  <c:v>Mobile</c:v>
                </c:pt>
                <c:pt idx="5">
                  <c:v>Mouse</c:v>
                </c:pt>
              </c:strCache>
            </c:strRef>
          </c:cat>
          <c:val>
            <c:numRef>
              <c:f>Sheet2!$C$5:$C$11</c:f>
              <c:numCache>
                <c:formatCode>General</c:formatCode>
                <c:ptCount val="6"/>
                <c:pt idx="0">
                  <c:v>90000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1/4/2025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Sheet2!$A$5:$A$11</c:f>
              <c:strCache>
                <c:ptCount val="6"/>
                <c:pt idx="0">
                  <c:v>Computer</c:v>
                </c:pt>
                <c:pt idx="1">
                  <c:v>Cpu</c:v>
                </c:pt>
                <c:pt idx="2">
                  <c:v>keyboard</c:v>
                </c:pt>
                <c:pt idx="3">
                  <c:v>Laptop</c:v>
                </c:pt>
                <c:pt idx="4">
                  <c:v>Mobile</c:v>
                </c:pt>
                <c:pt idx="5">
                  <c:v>Mouse</c:v>
                </c:pt>
              </c:strCache>
            </c:strRef>
          </c:cat>
          <c:val>
            <c:numRef>
              <c:f>Sheet2!$D$5:$D$11</c:f>
              <c:numCache>
                <c:formatCode>General</c:formatCode>
                <c:ptCount val="6"/>
                <c:pt idx="4">
                  <c:v>50000</c:v>
                </c:pt>
              </c:numCache>
            </c:numRef>
          </c:val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1/5/2025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Sheet2!$A$5:$A$11</c:f>
              <c:strCache>
                <c:ptCount val="6"/>
                <c:pt idx="0">
                  <c:v>Computer</c:v>
                </c:pt>
                <c:pt idx="1">
                  <c:v>Cpu</c:v>
                </c:pt>
                <c:pt idx="2">
                  <c:v>keyboard</c:v>
                </c:pt>
                <c:pt idx="3">
                  <c:v>Laptop</c:v>
                </c:pt>
                <c:pt idx="4">
                  <c:v>Mobile</c:v>
                </c:pt>
                <c:pt idx="5">
                  <c:v>Mouse</c:v>
                </c:pt>
              </c:strCache>
            </c:strRef>
          </c:cat>
          <c:val>
            <c:numRef>
              <c:f>Sheet2!$E$5:$E$11</c:f>
              <c:numCache>
                <c:formatCode>General</c:formatCode>
                <c:ptCount val="6"/>
                <c:pt idx="5">
                  <c:v>550</c:v>
                </c:pt>
              </c:numCache>
            </c:numRef>
          </c:val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1/6/2025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Sheet2!$A$5:$A$11</c:f>
              <c:strCache>
                <c:ptCount val="6"/>
                <c:pt idx="0">
                  <c:v>Computer</c:v>
                </c:pt>
                <c:pt idx="1">
                  <c:v>Cpu</c:v>
                </c:pt>
                <c:pt idx="2">
                  <c:v>keyboard</c:v>
                </c:pt>
                <c:pt idx="3">
                  <c:v>Laptop</c:v>
                </c:pt>
                <c:pt idx="4">
                  <c:v>Mobile</c:v>
                </c:pt>
                <c:pt idx="5">
                  <c:v>Mouse</c:v>
                </c:pt>
              </c:strCache>
            </c:strRef>
          </c:cat>
          <c:val>
            <c:numRef>
              <c:f>Sheet2!$F$5:$F$11</c:f>
              <c:numCache>
                <c:formatCode>General</c:formatCode>
                <c:ptCount val="6"/>
                <c:pt idx="1">
                  <c:v>600</c:v>
                </c:pt>
              </c:numCache>
            </c:numRef>
          </c:val>
        </c:ser>
        <c:ser>
          <c:idx val="5"/>
          <c:order val="5"/>
          <c:tx>
            <c:strRef>
              <c:f>Sheet2!$G$3:$G$4</c:f>
              <c:strCache>
                <c:ptCount val="1"/>
                <c:pt idx="0">
                  <c:v>1/7/2025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Sheet2!$A$5:$A$11</c:f>
              <c:strCache>
                <c:ptCount val="6"/>
                <c:pt idx="0">
                  <c:v>Computer</c:v>
                </c:pt>
                <c:pt idx="1">
                  <c:v>Cpu</c:v>
                </c:pt>
                <c:pt idx="2">
                  <c:v>keyboard</c:v>
                </c:pt>
                <c:pt idx="3">
                  <c:v>Laptop</c:v>
                </c:pt>
                <c:pt idx="4">
                  <c:v>Mobile</c:v>
                </c:pt>
                <c:pt idx="5">
                  <c:v>Mouse</c:v>
                </c:pt>
              </c:strCache>
            </c:strRef>
          </c:cat>
          <c:val>
            <c:numRef>
              <c:f>Sheet2!$G$5:$G$11</c:f>
              <c:numCache>
                <c:formatCode>General</c:formatCode>
                <c:ptCount val="6"/>
                <c:pt idx="3">
                  <c:v>90000</c:v>
                </c:pt>
              </c:numCache>
            </c:numRef>
          </c:val>
        </c:ser>
        <c:ser>
          <c:idx val="6"/>
          <c:order val="6"/>
          <c:tx>
            <c:strRef>
              <c:f>Sheet2!$H$3:$H$4</c:f>
              <c:strCache>
                <c:ptCount val="1"/>
                <c:pt idx="0">
                  <c:v>1/8/2025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Sheet2!$A$5:$A$11</c:f>
              <c:strCache>
                <c:ptCount val="6"/>
                <c:pt idx="0">
                  <c:v>Computer</c:v>
                </c:pt>
                <c:pt idx="1">
                  <c:v>Cpu</c:v>
                </c:pt>
                <c:pt idx="2">
                  <c:v>keyboard</c:v>
                </c:pt>
                <c:pt idx="3">
                  <c:v>Laptop</c:v>
                </c:pt>
                <c:pt idx="4">
                  <c:v>Mobile</c:v>
                </c:pt>
                <c:pt idx="5">
                  <c:v>Mouse</c:v>
                </c:pt>
              </c:strCache>
            </c:strRef>
          </c:cat>
          <c:val>
            <c:numRef>
              <c:f>Sheet2!$H$5:$H$11</c:f>
              <c:numCache>
                <c:formatCode>General</c:formatCode>
                <c:ptCount val="6"/>
                <c:pt idx="2">
                  <c:v>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50"/>
        <c:shape val="box"/>
        <c:axId val="667951551"/>
        <c:axId val="667956127"/>
      </c:bar3DChart>
      <c:catAx>
        <c:axId val="66795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7956127"/>
        <c:crosses val="autoZero"/>
        <c:auto val="1"/>
        <c:lblAlgn val="ctr"/>
        <c:lblOffset val="100"/>
        <c:noMultiLvlLbl val="0"/>
      </c:catAx>
      <c:valAx>
        <c:axId val="66795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795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99a2ee-a6b8-4c11-8ee3-ed4abf48ee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61912</xdr:colOff>
      <xdr:row>12</xdr:row>
      <xdr:rowOff>142875</xdr:rowOff>
    </xdr:from>
    <xdr:to>
      <xdr:col>17</xdr:col>
      <xdr:colOff>366712</xdr:colOff>
      <xdr:row>27</xdr:row>
      <xdr:rowOff>28575</xdr:rowOff>
    </xdr:to>
    <xdr:graphicFrame>
      <xdr:nvGraphicFramePr>
        <xdr:cNvPr id="2" name="Chart 1"/>
        <xdr:cNvGraphicFramePr/>
      </xdr:nvGraphicFramePr>
      <xdr:xfrm>
        <a:off x="6976745" y="2428875"/>
        <a:ext cx="45053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054.3920025463" refreshedBy="BQ1" recordCount="7">
  <cacheSource type="worksheet">
    <worksheetSource ref="A1:D8" sheet="Sheet1"/>
  </cacheSource>
  <cacheFields count="4">
    <cacheField name="Date " numFmtId="58">
      <sharedItems containsSemiMixedTypes="0" containsString="0" containsNonDate="0" containsDate="1" minDate="2025-01-02T00:00:00" maxDate="2025-01-08T00:00:00" count="7">
        <d v="2025-01-02T00:00:00"/>
        <d v="2025-01-03T00:00:00"/>
        <d v="2025-01-04T00:00:00"/>
        <d v="2025-01-05T00:00:00"/>
        <d v="2025-01-06T00:00:00"/>
        <d v="2025-01-07T00:00:00"/>
        <d v="2025-01-08T00:00:00"/>
      </sharedItems>
    </cacheField>
    <cacheField name="Product" numFmtId="0">
      <sharedItems count="6">
        <s v="Laptop"/>
        <s v="Computer"/>
        <s v="Mobile"/>
        <s v="Mouse"/>
        <s v="Cpu"/>
        <s v="keyboard"/>
      </sharedItems>
    </cacheField>
    <cacheField name="Region" numFmtId="0">
      <sharedItems count="4">
        <s v="North"/>
        <s v="East"/>
        <s v="West"/>
        <s v="South"/>
      </sharedItems>
    </cacheField>
    <cacheField name="Amount" numFmtId="0">
      <sharedItems containsSemiMixedTypes="0" containsString="0" containsNumber="1" containsInteger="1" minValue="0" maxValue="90000" count="6">
        <n v="80000"/>
        <n v="90000"/>
        <n v="50000"/>
        <n v="550"/>
        <n v="600"/>
        <n v="2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0"/>
    <x v="4"/>
  </r>
  <r>
    <x v="5"/>
    <x v="0"/>
    <x v="2"/>
    <x v="1"/>
  </r>
  <r>
    <x v="6"/>
    <x v="5"/>
    <x v="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">
  <location ref="A3:I11" firstHeaderRow="1" firstDataRow="2" firstDataCol="1" rowPageCount="1" colPageCount="1"/>
  <pivotFields count="4">
    <pivotField axis="axisCol" numFmtId="58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7">
        <item x="1"/>
        <item x="4"/>
        <item x="5"/>
        <item x="0"/>
        <item x="2"/>
        <item x="3"/>
        <item t="default"/>
      </items>
    </pivotField>
    <pivotField axis="axisPage" showAll="0">
      <items count="5">
        <item x="1"/>
        <item x="0"/>
        <item x="3"/>
        <item x="2"/>
        <item t="default"/>
      </items>
    </pivotField>
    <pivotField dataField="1" showAll="0">
      <items count="7">
        <item x="3"/>
        <item x="4"/>
        <item x="5"/>
        <item x="2"/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/>
  </pageFields>
  <dataFields count="1">
    <dataField name="Sum of Amount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I16" sqref="I16"/>
    </sheetView>
  </sheetViews>
  <sheetFormatPr defaultColWidth="9" defaultRowHeight="15"/>
  <cols>
    <col min="1" max="1" width="14.8571428571429" customWidth="1"/>
    <col min="2" max="2" width="16.2857142857143" customWidth="1"/>
    <col min="3" max="8" width="8.71428571428571" customWidth="1"/>
    <col min="9" max="9" width="11.2857142857143" customWidth="1"/>
  </cols>
  <sheetData>
    <row r="1" spans="1:2">
      <c r="A1" t="s">
        <v>0</v>
      </c>
      <c r="B1" t="s">
        <v>1</v>
      </c>
    </row>
    <row r="3" spans="1:2">
      <c r="A3" t="s">
        <v>2</v>
      </c>
      <c r="B3" t="s">
        <v>3</v>
      </c>
    </row>
    <row r="4" spans="1:9">
      <c r="A4" t="s">
        <v>4</v>
      </c>
      <c r="B4" s="10">
        <v>45659</v>
      </c>
      <c r="C4" s="10">
        <v>45660</v>
      </c>
      <c r="D4" s="10">
        <v>45661</v>
      </c>
      <c r="E4" s="10">
        <v>45662</v>
      </c>
      <c r="F4" s="10">
        <v>45663</v>
      </c>
      <c r="G4" s="10">
        <v>45664</v>
      </c>
      <c r="H4" s="10">
        <v>45665</v>
      </c>
      <c r="I4" s="10" t="s">
        <v>5</v>
      </c>
    </row>
    <row r="5" spans="1:9">
      <c r="A5" s="11" t="s">
        <v>6</v>
      </c>
      <c r="B5" s="12"/>
      <c r="C5" s="12">
        <v>90000</v>
      </c>
      <c r="D5" s="12"/>
      <c r="E5" s="12"/>
      <c r="F5" s="12"/>
      <c r="G5" s="12"/>
      <c r="H5" s="12"/>
      <c r="I5" s="12">
        <v>90000</v>
      </c>
    </row>
    <row r="6" spans="1:9">
      <c r="A6" s="11" t="s">
        <v>7</v>
      </c>
      <c r="B6" s="12"/>
      <c r="C6" s="12"/>
      <c r="D6" s="12"/>
      <c r="E6" s="12"/>
      <c r="F6" s="12">
        <v>600</v>
      </c>
      <c r="G6" s="12"/>
      <c r="H6" s="12"/>
      <c r="I6" s="12">
        <v>600</v>
      </c>
    </row>
    <row r="7" spans="1:9">
      <c r="A7" s="11" t="s">
        <v>8</v>
      </c>
      <c r="B7" s="12"/>
      <c r="C7" s="12"/>
      <c r="D7" s="12"/>
      <c r="E7" s="12"/>
      <c r="F7" s="12"/>
      <c r="G7" s="12"/>
      <c r="H7" s="12">
        <v>2000</v>
      </c>
      <c r="I7" s="12">
        <v>2000</v>
      </c>
    </row>
    <row r="8" spans="1:9">
      <c r="A8" s="11" t="s">
        <v>9</v>
      </c>
      <c r="B8" s="12">
        <v>80000</v>
      </c>
      <c r="C8" s="12"/>
      <c r="D8" s="12"/>
      <c r="E8" s="12"/>
      <c r="F8" s="12"/>
      <c r="G8" s="12">
        <v>90000</v>
      </c>
      <c r="H8" s="12"/>
      <c r="I8" s="12">
        <v>170000</v>
      </c>
    </row>
    <row r="9" spans="1:9">
      <c r="A9" s="11" t="s">
        <v>10</v>
      </c>
      <c r="B9" s="12"/>
      <c r="C9" s="12"/>
      <c r="D9" s="12">
        <v>50000</v>
      </c>
      <c r="E9" s="12"/>
      <c r="F9" s="12"/>
      <c r="G9" s="12"/>
      <c r="H9" s="12"/>
      <c r="I9" s="12">
        <v>50000</v>
      </c>
    </row>
    <row r="10" spans="1:9">
      <c r="A10" s="11" t="s">
        <v>11</v>
      </c>
      <c r="B10" s="12"/>
      <c r="C10" s="12"/>
      <c r="D10" s="12"/>
      <c r="E10" s="12">
        <v>550</v>
      </c>
      <c r="F10" s="12"/>
      <c r="G10" s="12"/>
      <c r="H10" s="12"/>
      <c r="I10" s="12">
        <v>550</v>
      </c>
    </row>
    <row r="11" spans="1:9">
      <c r="A11" s="11" t="s">
        <v>5</v>
      </c>
      <c r="B11" s="12">
        <v>80000</v>
      </c>
      <c r="C11" s="12">
        <v>90000</v>
      </c>
      <c r="D11" s="12">
        <v>50000</v>
      </c>
      <c r="E11" s="12">
        <v>550</v>
      </c>
      <c r="F11" s="12">
        <v>600</v>
      </c>
      <c r="G11" s="12">
        <v>90000</v>
      </c>
      <c r="H11" s="12">
        <v>2000</v>
      </c>
      <c r="I11" s="12">
        <v>313150</v>
      </c>
    </row>
  </sheetData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H15" sqref="H15"/>
    </sheetView>
  </sheetViews>
  <sheetFormatPr defaultColWidth="9" defaultRowHeight="15" outlineLevelCol="5"/>
  <sheetData>
    <row r="1" ht="19.5" spans="1:4">
      <c r="A1" s="1" t="s">
        <v>12</v>
      </c>
      <c r="B1" s="2" t="s">
        <v>13</v>
      </c>
      <c r="C1" s="1" t="s">
        <v>0</v>
      </c>
      <c r="D1" s="3" t="s">
        <v>14</v>
      </c>
    </row>
    <row r="2" spans="1:4">
      <c r="A2" s="4">
        <v>45659</v>
      </c>
      <c r="B2" s="5" t="s">
        <v>9</v>
      </c>
      <c r="C2" s="5" t="s">
        <v>15</v>
      </c>
      <c r="D2">
        <v>80000</v>
      </c>
    </row>
    <row r="3" spans="1:4">
      <c r="A3" s="4">
        <v>45660</v>
      </c>
      <c r="B3" s="5" t="s">
        <v>6</v>
      </c>
      <c r="C3" s="5" t="s">
        <v>16</v>
      </c>
      <c r="D3">
        <v>90000</v>
      </c>
    </row>
    <row r="4" spans="1:4">
      <c r="A4" s="4">
        <v>45661</v>
      </c>
      <c r="B4" s="5" t="s">
        <v>10</v>
      </c>
      <c r="C4" s="5" t="s">
        <v>17</v>
      </c>
      <c r="D4">
        <v>50000</v>
      </c>
    </row>
    <row r="5" spans="1:4">
      <c r="A5" s="4">
        <v>45662</v>
      </c>
      <c r="B5" s="5" t="s">
        <v>18</v>
      </c>
      <c r="C5" s="5" t="s">
        <v>19</v>
      </c>
      <c r="D5">
        <v>550</v>
      </c>
    </row>
    <row r="6" spans="1:4">
      <c r="A6" s="4">
        <v>45663</v>
      </c>
      <c r="B6" s="5" t="s">
        <v>20</v>
      </c>
      <c r="C6" s="5" t="s">
        <v>15</v>
      </c>
      <c r="D6">
        <v>600</v>
      </c>
    </row>
    <row r="7" spans="1:6">
      <c r="A7" s="4">
        <v>45664</v>
      </c>
      <c r="B7" s="5" t="s">
        <v>9</v>
      </c>
      <c r="C7" s="5" t="s">
        <v>17</v>
      </c>
      <c r="D7">
        <v>90000</v>
      </c>
      <c r="F7" s="6"/>
    </row>
    <row r="8" spans="1:4">
      <c r="A8" s="4">
        <v>45665</v>
      </c>
      <c r="B8" s="5" t="s">
        <v>8</v>
      </c>
      <c r="C8" s="5" t="s">
        <v>19</v>
      </c>
      <c r="D8">
        <v>2000</v>
      </c>
    </row>
    <row r="10" spans="2:3">
      <c r="B10" s="7" t="s">
        <v>21</v>
      </c>
      <c r="C10">
        <f>SUM(D2:D8)</f>
        <v>313150</v>
      </c>
    </row>
    <row r="11" spans="2:3">
      <c r="B11" s="8" t="s">
        <v>22</v>
      </c>
      <c r="C11">
        <f>SUMIF(B2:B8,B3,D2:D8)</f>
        <v>90000</v>
      </c>
    </row>
    <row r="12" spans="2:3">
      <c r="B12" s="7" t="s">
        <v>23</v>
      </c>
      <c r="C12">
        <f>COUNT(A1:A8)</f>
        <v>7</v>
      </c>
    </row>
    <row r="13" spans="2:3">
      <c r="B13" s="7" t="s">
        <v>24</v>
      </c>
      <c r="C13">
        <f>MIN(D1:D8)</f>
        <v>550</v>
      </c>
    </row>
    <row r="14" spans="2:3">
      <c r="B14" s="9" t="s">
        <v>25</v>
      </c>
      <c r="C14">
        <f>MAX(D2:D8)</f>
        <v>90000</v>
      </c>
    </row>
    <row r="15" spans="2:3">
      <c r="B15" s="7" t="s">
        <v>26</v>
      </c>
      <c r="C15">
        <f>COUNTIF(B2:B8,"mobile")</f>
        <v>1</v>
      </c>
    </row>
    <row r="16" spans="2:3">
      <c r="B16" s="8" t="s">
        <v>27</v>
      </c>
      <c r="C16">
        <f>VLOOKUP(A4,A1:D8,4,FALSE)</f>
        <v>50000</v>
      </c>
    </row>
    <row r="32" ht="180" customHeight="1"/>
  </sheetData>
  <dataValidations count="2">
    <dataValidation type="date" operator="lessThan" allowBlank="1" showInputMessage="1" showErrorMessage="1" errorTitle="wrong" error="only date " promptTitle="worng" prompt="only date" sqref="A5" errorStyle="warning">
      <formula1>45660</formula1>
    </dataValidation>
    <dataValidation type="date" operator="lessThan" allowBlank="1" showInputMessage="1" showErrorMessage="1" sqref="C15">
      <formula1>45660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BQ1</dc:creator>
  <cp:lastModifiedBy>BQ1</cp:lastModifiedBy>
  <dcterms:created xsi:type="dcterms:W3CDTF">2026-02-01T04:15:00Z</dcterms:created>
  <dcterms:modified xsi:type="dcterms:W3CDTF">2026-02-01T05:29:21Z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BD0E54883C024437B86B0C1A9BE51737_13</vt:lpwstr>
  </property>
  <property fmtid="{D5CDD505-2E9C-101B-9397-08002B2CF9AE}" pid="3" name="KSOProductBuildVer">
    <vt:lpwstr>1033-12.2.0.23196</vt:lpwstr>
  </property>
</Properties>
</file>